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https://d.docs.live.net/3113311E07AF5927/Documents/"/>
    </mc:Choice>
  </mc:AlternateContent>
  <xr:revisionPtr revIDLastSave="33" documentId="8_{6C2904BC-99FC-43FD-8D0A-EDAB5C6161F9}" xr6:coauthVersionLast="47" xr6:coauthVersionMax="47" xr10:uidLastSave="{C918980A-9693-4513-94FE-13BEC14489EE}"/>
  <bookViews>
    <workbookView xWindow="-110" yWindow="-110" windowWidth="19420" windowHeight="10300" activeTab="3" xr2:uid="{00000000-000D-0000-FFFF-FFFF00000000}"/>
  </bookViews>
  <sheets>
    <sheet name="Sheet1" sheetId="1" r:id="rId1"/>
    <sheet name="Sheet2" sheetId="2" r:id="rId2"/>
    <sheet name="Sheet8" sheetId="8" r:id="rId3"/>
    <sheet name="Sheet3" sheetId="10" r:id="rId4"/>
  </sheets>
  <definedNames>
    <definedName name="Slicer_Product">#N/A</definedName>
    <definedName name="Slicer_Region">#N/A</definedName>
    <definedName name="Slicer_Sales__Re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<sst xmlns="http://schemas.openxmlformats.org/spreadsheetml/2006/main" count="260" uniqueCount="79">
  <si>
    <t>Order ID</t>
  </si>
  <si>
    <t>Date</t>
  </si>
  <si>
    <t>Customer Name</t>
  </si>
  <si>
    <t>Region</t>
  </si>
  <si>
    <t>Product</t>
  </si>
  <si>
    <t>Quantity</t>
  </si>
  <si>
    <t>Unit Price</t>
  </si>
  <si>
    <t>Discount</t>
  </si>
  <si>
    <t>Sales Rep</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</si>
  <si>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</si>
  <si>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</si>
  <si>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</si>
  <si>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</si>
  <si>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</si>
  <si>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</si>
  <si>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</si>
  <si>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</si>
  <si>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</si>
  <si>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</si>
  <si>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</si>
  <si>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</si>
  <si>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</si>
  <si>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</si>
  <si>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</si>
  <si>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</si>
  <si>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</si>
  <si>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</si>
  <si>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</si>
  <si>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</si>
  <si>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2024-01-01</t>
  </si>
  <si>
    <t>2024-01-08</t>
  </si>
  <si>
    <t>2024-01-15</t>
  </si>
  <si>
    <t>2024-01-22</t>
  </si>
  <si>
    <t>2024-01-29</t>
  </si>
  <si>
    <t>2024-02-05</t>
  </si>
  <si>
    <t>2024-02-12</t>
  </si>
  <si>
    <t>2024-02-19</t>
  </si>
  <si>
    <t>2024-02-26</t>
  </si>
  <si>
    <t>2024-03-04</t>
  </si>
  <si>
    <t>2024-03-11</t>
  </si>
  <si>
    <t>2024-03-18</t>
  </si>
  <si>
    <t>2024-03-25</t>
  </si>
  <si>
    <t>2024-04-01</t>
  </si>
  <si>
    <t>2024-04-08</t>
  </si>
  <si>
    <t>2024-04-15</t>
  </si>
  <si>
    <t>2024-04-22</t>
  </si>
  <si>
    <t>2024-04-29</t>
  </si>
  <si>
    <t>2024-05-06</t>
  </si>
  <si>
    <t>2024-05-13</t>
  </si>
  <si>
    <t>John Doe</t>
  </si>
  <si>
    <t>Jane Smith</t>
  </si>
  <si>
    <t>Alice Brown</t>
  </si>
  <si>
    <t xml:space="preserve">bob lee </t>
  </si>
  <si>
    <t>Mary Johnson</t>
  </si>
  <si>
    <t>Bob Lee</t>
  </si>
  <si>
    <t>North</t>
  </si>
  <si>
    <t>South</t>
  </si>
  <si>
    <t>East</t>
  </si>
  <si>
    <t>West</t>
  </si>
  <si>
    <t>Laptop</t>
  </si>
  <si>
    <t>Mouse</t>
  </si>
  <si>
    <t>Keyboard</t>
  </si>
  <si>
    <t>Monitor</t>
  </si>
  <si>
    <t>Laptop Bag</t>
  </si>
  <si>
    <t xml:space="preserve">North </t>
  </si>
  <si>
    <t>Samuel</t>
  </si>
  <si>
    <t>Jane</t>
  </si>
  <si>
    <t>Peter</t>
  </si>
  <si>
    <t>Alice</t>
  </si>
  <si>
    <t>Bob</t>
  </si>
  <si>
    <t>Customer_Name</t>
  </si>
  <si>
    <t>Order_ ID</t>
  </si>
  <si>
    <t>Unit_Price</t>
  </si>
  <si>
    <t>Sales_ Rep</t>
  </si>
  <si>
    <t>Row Labels</t>
  </si>
  <si>
    <t>Grand Total</t>
  </si>
  <si>
    <t>Sum of Unit_Price</t>
  </si>
  <si>
    <t>Column Labels</t>
  </si>
  <si>
    <t>Laptop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</si>
</sst>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sz val="22"/>
      <color theme="3" tint="-0.249977111117893"/>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3"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[sales_data_cleaning_project (1).xlsx]Sheet8!PivotTable4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LID4096"/>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Sheet8!$A$4:$A$8</c:f>
              <c:strCache>
                <c:ptCount val="4"/>
                <c:pt idx="0">
                  <c:v>East</c:v>
                </c:pt>
                <c:pt idx="1">
                  <c:v>North</c:v>
                </c:pt>
                <c:pt idx="2">
                  <c:v>South</c:v>
                </c:pt>
                <c:pt idx="3">
                  <c:v>West</c:v>
                </c:pt>
              </c:strCache>
            </c:strRef>
          </c:cat>
          <c:val>
            <c:numRef>
              <c:f>Sheet8!$B$4:$B$8</c:f>
              <c:numCache>
                <c:formatCode>General</c:formatCode>
                <c:ptCount val="4"/>
                <c:pt idx="0">
                  <c:v>3750</c:v>
                </c:pt>
                <c:pt idx="1">
                  <c:v>7500</c:v>
                </c:pt>
                <c:pt idx="2">
                  <c:v>2500</c:v>
                </c:pt>
                <c:pt idx="3">
                  <c:v>2500</c:v>
                </c:pt>
              </c:numCache>
            </c:numRef>
          </c:val>
          <c:extLst>
            <c:ext xmlns:c16="http://schemas.microsoft.com/office/drawing/2014/chart" uri="{C3380CC4-5D6E-409C-BE32-E72D297353CC}">
              <c16:uniqueId val="{00000000-DCB1-40E8-AD3A-C16950360A0A}"/>
            </c:ext>
          </c:extLst>
        </c:ser>
        <c:dLbls>
          <c:showLegendKey val="0"/>
          <c:showVal val="0"/>
          <c:showCatName val="0"/>
          <c:showSerName val="0"/>
          <c:showPercent val="0"/>
          <c:showBubbleSize val="0"/>
        </c:dLbls>
        <c:gapWidth val="150"/>
        <c:overlap val="100"/>
        <c:axId val="2124350959"/>
        <c:axId val="2124356719"/>
      </c:barChart>
      <c:catAx>
        <c:axId val="21243509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2124356719"/>
        <c:crosses val="autoZero"/>
        <c:auto val="1"/>
        <c:lblAlgn val="ctr"/>
        <c:lblOffset val="100"/>
        <c:noMultiLvlLbl val="0"/>
      </c:catAx>
      <c:valAx>
        <c:axId val="21243567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Unit of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212435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[sales_data_cleaning_project (1).xlsx]Sheet8!PivotTable1</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Performance by Region</a:t>
            </a:r>
          </a:p>
        </c:rich>
      </c:tx>
      <c:layout>
        <c:manualLayout>
          <c:xMode val="edge"/>
          <c:yMode val="edge"/>
          <c:x val="0.37786111111111109"/>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LID4096"/>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Sheet8!$B$19:$B$20</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Sheet8!$A$21:$A$26</c:f>
              <c:strCache>
                <c:ptCount val="5"/>
                <c:pt idx="0">
                  <c:v>Alice</c:v>
                </c:pt>
                <c:pt idx="1">
                  <c:v>Bob</c:v>
                </c:pt>
                <c:pt idx="2">
                  <c:v>Jane</c:v>
                </c:pt>
                <c:pt idx="3">
                  <c:v>Peter</c:v>
                </c:pt>
                <c:pt idx="4">
                  <c:v>Samuel</c:v>
                </c:pt>
              </c:strCache>
            </c:strRef>
          </c:cat>
          <c:val>
            <c:numRef>
              <c:f>Sheet8!$B$21:$B$26</c:f>
              <c:numCache>
                <c:formatCode>General</c:formatCode>
                <c:ptCount val="5"/>
                <c:pt idx="2">
                  <c:v>3000</c:v>
                </c:pt>
                <c:pt idx="3">
                  <c:v>750</c:v>
                </c:pt>
              </c:numCache>
            </c:numRef>
          </c:val>
          <c:extLst>
            <c:ext xmlns:c16="http://schemas.microsoft.com/office/drawing/2014/chart" uri="{C3380CC4-5D6E-409C-BE32-E72D297353CC}">
              <c16:uniqueId val="{00000000-4D80-4AC9-968A-8B56805A63DA}"/>
            </c:ext>
          </c:extLst>
        </c:ser>
        <c:ser>
          <c:idx val="1"/>
          <c:order val="1"/>
          <c:tx>
            <c:strRef>
              <c:f>Sheet8!$C$19:$C$20</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Sheet8!$A$21:$A$26</c:f>
              <c:strCache>
                <c:ptCount val="5"/>
                <c:pt idx="0">
                  <c:v>Alice</c:v>
                </c:pt>
                <c:pt idx="1">
                  <c:v>Bob</c:v>
                </c:pt>
                <c:pt idx="2">
                  <c:v>Jane</c:v>
                </c:pt>
                <c:pt idx="3">
                  <c:v>Peter</c:v>
                </c:pt>
                <c:pt idx="4">
                  <c:v>Samuel</c:v>
                </c:pt>
              </c:strCache>
            </c:strRef>
          </c:cat>
          <c:val>
            <c:numRef>
              <c:f>Sheet8!$C$21:$C$26</c:f>
              <c:numCache>
                <c:formatCode>General</c:formatCode>
                <c:ptCount val="5"/>
                <c:pt idx="0">
                  <c:v>3750</c:v>
                </c:pt>
                <c:pt idx="1">
                  <c:v>3750</c:v>
                </c:pt>
              </c:numCache>
            </c:numRef>
          </c:val>
          <c:extLst>
            <c:ext xmlns:c16="http://schemas.microsoft.com/office/drawing/2014/chart" uri="{C3380CC4-5D6E-409C-BE32-E72D297353CC}">
              <c16:uniqueId val="{00000006-849E-4128-B27A-D78715117859}"/>
            </c:ext>
          </c:extLst>
        </c:ser>
        <c:ser>
          <c:idx val="2"/>
          <c:order val="2"/>
          <c:tx>
            <c:strRef>
              <c:f>Sheet8!$D$19:$D$20</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Sheet8!$A$21:$A$26</c:f>
              <c:strCache>
                <c:ptCount val="5"/>
                <c:pt idx="0">
                  <c:v>Alice</c:v>
                </c:pt>
                <c:pt idx="1">
                  <c:v>Bob</c:v>
                </c:pt>
                <c:pt idx="2">
                  <c:v>Jane</c:v>
                </c:pt>
                <c:pt idx="3">
                  <c:v>Peter</c:v>
                </c:pt>
                <c:pt idx="4">
                  <c:v>Samuel</c:v>
                </c:pt>
              </c:strCache>
            </c:strRef>
          </c:cat>
          <c:val>
            <c:numRef>
              <c:f>Sheet8!$D$21:$D$26</c:f>
              <c:numCache>
                <c:formatCode>General</c:formatCode>
                <c:ptCount val="5"/>
                <c:pt idx="4">
                  <c:v>2500</c:v>
                </c:pt>
              </c:numCache>
            </c:numRef>
          </c:val>
          <c:extLst>
            <c:ext xmlns:c16="http://schemas.microsoft.com/office/drawing/2014/chart" uri="{C3380CC4-5D6E-409C-BE32-E72D297353CC}">
              <c16:uniqueId val="{00000007-849E-4128-B27A-D78715117859}"/>
            </c:ext>
          </c:extLst>
        </c:ser>
        <c:ser>
          <c:idx val="3"/>
          <c:order val="3"/>
          <c:tx>
            <c:strRef>
              <c:f>Sheet8!$E$19:$E$20</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Sheet8!$A$21:$A$26</c:f>
              <c:strCache>
                <c:ptCount val="5"/>
                <c:pt idx="0">
                  <c:v>Alice</c:v>
                </c:pt>
                <c:pt idx="1">
                  <c:v>Bob</c:v>
                </c:pt>
                <c:pt idx="2">
                  <c:v>Jane</c:v>
                </c:pt>
                <c:pt idx="3">
                  <c:v>Peter</c:v>
                </c:pt>
                <c:pt idx="4">
                  <c:v>Samuel</c:v>
                </c:pt>
              </c:strCache>
            </c:strRef>
          </c:cat>
          <c:val>
            <c:numRef>
              <c:f>Sheet8!$E$21:$E$26</c:f>
              <c:numCache>
                <c:formatCode>General</c:formatCode>
                <c:ptCount val="5"/>
                <c:pt idx="3">
                  <c:v>2500</c:v>
                </c:pt>
              </c:numCache>
            </c:numRef>
          </c:val>
          <c:extLst>
            <c:ext xmlns:c16="http://schemas.microsoft.com/office/drawing/2014/chart" uri="{C3380CC4-5D6E-409C-BE32-E72D297353CC}">
              <c16:uniqueId val="{00000008-849E-4128-B27A-D78715117859}"/>
            </c:ext>
          </c:extLst>
        </c:ser>
        <c:dLbls>
          <c:showLegendKey val="0"/>
          <c:showVal val="0"/>
          <c:showCatName val="0"/>
          <c:showSerName val="0"/>
          <c:showPercent val="0"/>
          <c:showBubbleSize val="0"/>
        </c:dLbls>
        <c:gapWidth val="150"/>
        <c:shape val="box"/>
        <c:axId val="560529648"/>
        <c:axId val="560530128"/>
        <c:axId val="0"/>
      </c:bar3DChart>
      <c:catAx>
        <c:axId val="5605296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Rep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560530128"/>
        <c:crosses val="autoZero"/>
        <c:auto val="1"/>
        <c:lblAlgn val="ctr"/>
        <c:lblOffset val="100"/>
        <c:noMultiLvlLbl val="0"/>
      </c:catAx>
      <c:valAx>
        <c:axId val="56053012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 of Unit price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56052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[sales_data_cleaning_project (1).xlsx]Sheet8!PivotTable4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LID4096"/>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Sheet8!$A$4:$A$8</c:f>
              <c:strCache>
                <c:ptCount val="4"/>
                <c:pt idx="0">
                  <c:v>East</c:v>
                </c:pt>
                <c:pt idx="1">
                  <c:v>North</c:v>
                </c:pt>
                <c:pt idx="2">
                  <c:v>South</c:v>
                </c:pt>
                <c:pt idx="3">
                  <c:v>West</c:v>
                </c:pt>
              </c:strCache>
            </c:strRef>
          </c:cat>
          <c:val>
            <c:numRef>
              <c:f>Sheet8!$B$4:$B$8</c:f>
              <c:numCache>
                <c:formatCode>General</c:formatCode>
                <c:ptCount val="4"/>
                <c:pt idx="0">
                  <c:v>3750</c:v>
                </c:pt>
                <c:pt idx="1">
                  <c:v>7500</c:v>
                </c:pt>
                <c:pt idx="2">
                  <c:v>2500</c:v>
                </c:pt>
                <c:pt idx="3">
                  <c:v>2500</c:v>
                </c:pt>
              </c:numCache>
            </c:numRef>
          </c:val>
          <c:extLst>
            <c:ext xmlns:c16="http://schemas.microsoft.com/office/drawing/2014/chart" uri="{C3380CC4-5D6E-409C-BE32-E72D297353CC}">
              <c16:uniqueId val="{00000001-F845-433A-A556-536B7BED24E1}"/>
            </c:ext>
          </c:extLst>
        </c:ser>
        <c:dLbls>
          <c:showLegendKey val="0"/>
          <c:showVal val="0"/>
          <c:showCatName val="0"/>
          <c:showSerName val="0"/>
          <c:showPercent val="0"/>
          <c:showBubbleSize val="0"/>
        </c:dLbls>
        <c:gapWidth val="150"/>
        <c:overlap val="100"/>
        <c:axId val="2124350959"/>
        <c:axId val="2124356719"/>
      </c:barChart>
      <c:catAx>
        <c:axId val="21243509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2124356719"/>
        <c:crosses val="autoZero"/>
        <c:auto val="1"/>
        <c:lblAlgn val="ctr"/>
        <c:lblOffset val="100"/>
        <c:noMultiLvlLbl val="0"/>
      </c:catAx>
      <c:valAx>
        <c:axId val="21243567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Unit of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212435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[sales_data_cleaning_project (1).xlsx]Sheet8!PivotTable1</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Performance by Region</a:t>
            </a:r>
          </a:p>
        </c:rich>
      </c:tx>
      <c:layout>
        <c:manualLayout>
          <c:xMode val="edge"/>
          <c:yMode val="edge"/>
          <c:x val="0.30286111111111114"/>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LID4096"/>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Sheet8!$B$19:$B$20</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Sheet8!$A$21:$A$26</c:f>
              <c:strCache>
                <c:ptCount val="5"/>
                <c:pt idx="0">
                  <c:v>Alice</c:v>
                </c:pt>
                <c:pt idx="1">
                  <c:v>Bob</c:v>
                </c:pt>
                <c:pt idx="2">
                  <c:v>Jane</c:v>
                </c:pt>
                <c:pt idx="3">
                  <c:v>Peter</c:v>
                </c:pt>
                <c:pt idx="4">
                  <c:v>Samuel</c:v>
                </c:pt>
              </c:strCache>
            </c:strRef>
          </c:cat>
          <c:val>
            <c:numRef>
              <c:f>Sheet8!$B$21:$B$26</c:f>
              <c:numCache>
                <c:formatCode>General</c:formatCode>
                <c:ptCount val="5"/>
                <c:pt idx="2">
                  <c:v>3000</c:v>
                </c:pt>
                <c:pt idx="3">
                  <c:v>750</c:v>
                </c:pt>
              </c:numCache>
            </c:numRef>
          </c:val>
          <c:extLst>
            <c:ext xmlns:c16="http://schemas.microsoft.com/office/drawing/2014/chart" uri="{C3380CC4-5D6E-409C-BE32-E72D297353CC}">
              <c16:uniqueId val="{00000001-BBE3-42D6-9780-AA40A98A0890}"/>
            </c:ext>
          </c:extLst>
        </c:ser>
        <c:ser>
          <c:idx val="1"/>
          <c:order val="1"/>
          <c:tx>
            <c:strRef>
              <c:f>Sheet8!$C$19:$C$20</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Sheet8!$A$21:$A$26</c:f>
              <c:strCache>
                <c:ptCount val="5"/>
                <c:pt idx="0">
                  <c:v>Alice</c:v>
                </c:pt>
                <c:pt idx="1">
                  <c:v>Bob</c:v>
                </c:pt>
                <c:pt idx="2">
                  <c:v>Jane</c:v>
                </c:pt>
                <c:pt idx="3">
                  <c:v>Peter</c:v>
                </c:pt>
                <c:pt idx="4">
                  <c:v>Samuel</c:v>
                </c:pt>
              </c:strCache>
            </c:strRef>
          </c:cat>
          <c:val>
            <c:numRef>
              <c:f>Sheet8!$C$21:$C$26</c:f>
              <c:numCache>
                <c:formatCode>General</c:formatCode>
                <c:ptCount val="5"/>
                <c:pt idx="0">
                  <c:v>3750</c:v>
                </c:pt>
                <c:pt idx="1">
                  <c:v>3750</c:v>
                </c:pt>
              </c:numCache>
            </c:numRef>
          </c:val>
          <c:extLst>
            <c:ext xmlns:c16="http://schemas.microsoft.com/office/drawing/2014/chart" uri="{C3380CC4-5D6E-409C-BE32-E72D297353CC}">
              <c16:uniqueId val="{00000003-BBE3-42D6-9780-AA40A98A0890}"/>
            </c:ext>
          </c:extLst>
        </c:ser>
        <c:ser>
          <c:idx val="2"/>
          <c:order val="2"/>
          <c:tx>
            <c:strRef>
              <c:f>Sheet8!$D$19:$D$20</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Sheet8!$A$21:$A$26</c:f>
              <c:strCache>
                <c:ptCount val="5"/>
                <c:pt idx="0">
                  <c:v>Alice</c:v>
                </c:pt>
                <c:pt idx="1">
                  <c:v>Bob</c:v>
                </c:pt>
                <c:pt idx="2">
                  <c:v>Jane</c:v>
                </c:pt>
                <c:pt idx="3">
                  <c:v>Peter</c:v>
                </c:pt>
                <c:pt idx="4">
                  <c:v>Samuel</c:v>
                </c:pt>
              </c:strCache>
            </c:strRef>
          </c:cat>
          <c:val>
            <c:numRef>
              <c:f>Sheet8!$D$21:$D$26</c:f>
              <c:numCache>
                <c:formatCode>General</c:formatCode>
                <c:ptCount val="5"/>
                <c:pt idx="4">
                  <c:v>2500</c:v>
                </c:pt>
              </c:numCache>
            </c:numRef>
          </c:val>
          <c:extLst>
            <c:ext xmlns:c16="http://schemas.microsoft.com/office/drawing/2014/chart" uri="{C3380CC4-5D6E-409C-BE32-E72D297353CC}">
              <c16:uniqueId val="{00000005-BBE3-42D6-9780-AA40A98A0890}"/>
            </c:ext>
          </c:extLst>
        </c:ser>
        <c:ser>
          <c:idx val="3"/>
          <c:order val="3"/>
          <c:tx>
            <c:strRef>
              <c:f>Sheet8!$E$19:$E$20</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Sheet8!$A$21:$A$26</c:f>
              <c:strCache>
                <c:ptCount val="5"/>
                <c:pt idx="0">
                  <c:v>Alice</c:v>
                </c:pt>
                <c:pt idx="1">
                  <c:v>Bob</c:v>
                </c:pt>
                <c:pt idx="2">
                  <c:v>Jane</c:v>
                </c:pt>
                <c:pt idx="3">
                  <c:v>Peter</c:v>
                </c:pt>
                <c:pt idx="4">
                  <c:v>Samuel</c:v>
                </c:pt>
              </c:strCache>
            </c:strRef>
          </c:cat>
          <c:val>
            <c:numRef>
              <c:f>Sheet8!$E$21:$E$26</c:f>
              <c:numCache>
                <c:formatCode>General</c:formatCode>
                <c:ptCount val="5"/>
                <c:pt idx="3">
                  <c:v>2500</c:v>
                </c:pt>
              </c:numCache>
            </c:numRef>
          </c:val>
          <c:extLst>
            <c:ext xmlns:c16="http://schemas.microsoft.com/office/drawing/2014/chart" uri="{C3380CC4-5D6E-409C-BE32-E72D297353CC}">
              <c16:uniqueId val="{00000007-BBE3-42D6-9780-AA40A98A0890}"/>
            </c:ext>
          </c:extLst>
        </c:ser>
        <c:dLbls>
          <c:showLegendKey val="0"/>
          <c:showVal val="0"/>
          <c:showCatName val="0"/>
          <c:showSerName val="0"/>
          <c:showPercent val="0"/>
          <c:showBubbleSize val="0"/>
        </c:dLbls>
        <c:gapWidth val="150"/>
        <c:shape val="box"/>
        <c:axId val="560529648"/>
        <c:axId val="560530128"/>
        <c:axId val="0"/>
      </c:bar3DChart>
      <c:catAx>
        <c:axId val="5605296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Rep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560530128"/>
        <c:crosses val="autoZero"/>
        <c:auto val="1"/>
        <c:lblAlgn val="ctr"/>
        <c:lblOffset val="100"/>
        <c:noMultiLvlLbl val="0"/>
      </c:catAx>
      <c:valAx>
        <c:axId val="56053012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 of Unit price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56052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158750</xdr:colOff>
      <xdr:row>2</xdr:row>
      <xdr:rowOff>44450</xdr:rowOff>
    </xdr:from>
    <xdr:to>
      <xdr:col>10</xdr:col>
      <xdr:colOff>565150</xdr:colOff>
      <xdr:row>16</xdr:row>
      <xdr:rowOff>38100</xdr:rowOff>
    </xdr:to>
    <xdr:graphicFrame macro="">
      <xdr:nvGraphicFramePr>
        <xdr:cNvPr id="2" name="Chart 1">
          <a:extLst>
            <a:ext uri="{FF2B5EF4-FFF2-40B4-BE49-F238E27FC236}">
              <a16:creationId xmlns:a16="http://schemas.microsoft.com/office/drawing/2014/main" id="{E9F25D35-6C40-FDD9-E4D9-7EF6D495E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539750</xdr:colOff>
      <xdr:row>15</xdr:row>
      <xdr:rowOff>57150</xdr:rowOff>
    </xdr:from>
    <xdr:to>
      <xdr:col>14</xdr:col>
      <xdr:colOff>234950</xdr:colOff>
      <xdr:row>30</xdr:row>
      <xdr:rowOff>38100</xdr:rowOff>
    </xdr:to>
    <xdr:graphicFrame macro="">
      <xdr:nvGraphicFramePr>
        <xdr:cNvPr id="4" name="Chart 3">
          <a:extLst>
            <a:ext uri="{FF2B5EF4-FFF2-40B4-BE49-F238E27FC236}">
              <a16:creationId xmlns:a16="http://schemas.microsoft.com/office/drawing/2014/main" id="{41BDA6C5-45AB-9228-0C15-4821E3D74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319700</xdr:colOff>
      <xdr:row>5</xdr:row>
      <xdr:rowOff>47800</xdr:rowOff>
    </xdr:from>
    <xdr:to>
      <xdr:col>9</xdr:col>
      <xdr:colOff>350000</xdr:colOff>
      <xdr:row>19</xdr:row>
      <xdr:rowOff>41450</xdr:rowOff>
    </xdr:to>
    <xdr:graphicFrame macro="">
      <xdr:nvGraphicFramePr>
        <xdr:cNvPr id="2" name="Chart 1">
          <a:extLst>
            <a:ext uri="{FF2B5EF4-FFF2-40B4-BE49-F238E27FC236}">
              <a16:creationId xmlns:a16="http://schemas.microsoft.com/office/drawing/2014/main" id="{EDC453E2-68C9-4B16-9127-B539EF6E3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406600</xdr:colOff>
      <xdr:row>5</xdr:row>
      <xdr:rowOff>3750</xdr:rowOff>
    </xdr:from>
    <xdr:to>
      <xdr:col>17</xdr:col>
      <xdr:colOff>101400</xdr:colOff>
      <xdr:row>19</xdr:row>
      <xdr:rowOff>169700</xdr:rowOff>
    </xdr:to>
    <xdr:graphicFrame macro="">
      <xdr:nvGraphicFramePr>
        <xdr:cNvPr id="3" name="Chart 2">
          <a:extLst>
            <a:ext uri="{FF2B5EF4-FFF2-40B4-BE49-F238E27FC236}">
              <a16:creationId xmlns:a16="http://schemas.microsoft.com/office/drawing/2014/main" id="{8AC43313-E39B-4880-AA1F-EF06A5A03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140100</xdr:colOff>
      <xdr:row>4</xdr:row>
      <xdr:rowOff>47401</xdr:rowOff>
    </xdr:from>
    <xdr:to>
      <xdr:col>2</xdr:col>
      <xdr:colOff>335000</xdr:colOff>
      <xdr:row>9</xdr:row>
      <xdr:rowOff>25001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1FEC084-6C5F-28B5-CB99-03129262DF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100" y="787401"/>
              <a:ext cx="1414900" cy="9026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65001</xdr:rowOff>
    </xdr:from>
    <xdr:to>
      <xdr:col>3</xdr:col>
      <xdr:colOff>0</xdr:colOff>
      <xdr:row>18</xdr:row>
      <xdr:rowOff>5001</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DDB8AB39-8A4C-8627-E385-619929D788F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730001"/>
              <a:ext cx="1830000" cy="16050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85000</xdr:rowOff>
    </xdr:from>
    <xdr:to>
      <xdr:col>3</xdr:col>
      <xdr:colOff>0</xdr:colOff>
      <xdr:row>23</xdr:row>
      <xdr:rowOff>120000</xdr:rowOff>
    </xdr:to>
    <mc:AlternateContent xmlns:mc="http://schemas.openxmlformats.org/markup-compatibility/2006" xmlns:a14="http://schemas.microsoft.com/office/drawing/2010/main">
      <mc:Choice Requires="a14">
        <xdr:graphicFrame macro="">
          <xdr:nvGraphicFramePr>
            <xdr:cNvPr id="7" name="Sales_ Rep">
              <a:extLst>
                <a:ext uri="{FF2B5EF4-FFF2-40B4-BE49-F238E27FC236}">
                  <a16:creationId xmlns:a16="http://schemas.microsoft.com/office/drawing/2014/main" id="{A26B39EE-48DB-CD95-0673-4F2694CFD288}"/>
                </a:ext>
              </a:extLst>
            </xdr:cNvPr>
            <xdr:cNvGraphicFramePr/>
          </xdr:nvGraphicFramePr>
          <xdr:xfrm>
            <a:off x="0" y="0"/>
            <a:ext cx="0" cy="0"/>
          </xdr:xfrm>
          <a:graphic>
            <a:graphicData uri="http://schemas.microsoft.com/office/drawing/2010/slicer">
              <sle:slicer xmlns:sle="http://schemas.microsoft.com/office/drawing/2010/slicer" name="Sales_ Rep"/>
            </a:graphicData>
          </a:graphic>
        </xdr:graphicFrame>
      </mc:Choice>
      <mc:Fallback xmlns="">
        <xdr:sp macro="" textlink="">
          <xdr:nvSpPr>
            <xdr:cNvPr id="0" name=""/>
            <xdr:cNvSpPr>
              <a:spLocks noTextEdit="1"/>
            </xdr:cNvSpPr>
          </xdr:nvSpPr>
          <xdr:spPr>
            <a:xfrm>
              <a:off x="0" y="3415000"/>
              <a:ext cx="1830000" cy="9600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ele grace" refreshedDate="45961.586179513892" createdVersion="8" refreshedVersion="8" minRefreshableVersion="3" recordCount="20" xr:uid="{233639B8-BF33-44F0-9F7D-682DF2B52BFE}">
  <cacheSource type="worksheet">
    <worksheetSource ref="A1:I21" sheet="Sheet2"/>
  </cacheSource>
  <cacheFields count="9">
    <cacheField name="Order_ ID" numFmtId="0">
      <sharedItems/>
    </cacheField>
    <cacheField name="Date" numFmtId="14">
      <sharedItems containsSemiMixedTypes="0" containsNonDate="0" containsDate="1" containsString="0" minDate="2024-01-01T00:00:00" maxDate="2024-12-03T00:00:00"/>
    </cacheField>
    <cacheField name="Customer_Name" numFmtId="0">
      <sharedItems count="5">
        <s v="John Doe"/>
        <s v="Jane Smith"/>
        <s v="Alice Brown"/>
        <s v="Bob Lee"/>
        <s v="Mary Johnson"/>
      </sharedItems>
    </cacheField>
    <cacheField name="Region" numFmtId="0">
      <sharedItems count="4">
        <s v="South"/>
        <s v="East"/>
        <s v="West"/>
        <s v="North"/>
      </sharedItems>
    </cacheField>
    <cacheField name="Product" numFmtId="0">
      <sharedItems count="5">
        <s v="Laptop"/>
        <s v="Mouse"/>
        <s v="Keyboard"/>
        <s v="Monitor"/>
        <s v="Laptop Bag"/>
      </sharedItems>
    </cacheField>
    <cacheField name="Quantity" numFmtId="0">
      <sharedItems containsSemiMixedTypes="0" containsString="0" containsNumber="1" containsInteger="1" minValue="0" maxValue="8"/>
    </cacheField>
    <cacheField name="Unit_Price" numFmtId="0">
      <sharedItems containsSemiMixedTypes="0" containsString="0" containsNumber="1" containsInteger="1" minValue="250" maxValue="1250" count="5">
        <n v="250"/>
        <n v="1000"/>
        <n v="500"/>
        <n v="1250"/>
        <n v="750"/>
      </sharedItems>
    </cacheField>
    <cacheField name="Discount" numFmtId="0">
      <sharedItems containsSemiMixedTypes="0" containsString="0" containsNumber="1" minValue="0" maxValue="0.15"/>
    </cacheField>
    <cacheField name="Sales_ Rep" numFmtId="0">
      <sharedItems count="5">
        <s v="Samuel"/>
        <s v="Jane"/>
        <s v="Peter"/>
        <s v="Alice"/>
        <s v="Bob"/>
      </sharedItems>
    </cacheField>
  </cacheFields>
  <extLst>
    <ext xmlns:x14="http://schemas.microsoft.com/office/spreadsheetml/2009/9/main" uri="{725AE2AE-9491-48be-B2B4-4EB974FC3084}">
      <x14:pivotCacheDefinition pivotCacheId="350560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1000"/>
    <d v="2024-01-01T00:00:00"/>
    <x v="0"/>
    <x v="0"/>
    <x v="0"/>
    <n v="7"/>
    <x v="0"/>
    <n v="0"/>
    <x v="0"/>
  </r>
  <r>
    <s v="ORD1001"/>
    <d v="2024-08-01T00:00:00"/>
    <x v="1"/>
    <x v="1"/>
    <x v="1"/>
    <n v="4"/>
    <x v="1"/>
    <n v="0.05"/>
    <x v="1"/>
  </r>
  <r>
    <s v="ORD1002"/>
    <d v="2024-01-15T00:00:00"/>
    <x v="2"/>
    <x v="2"/>
    <x v="2"/>
    <n v="8"/>
    <x v="2"/>
    <n v="0.15"/>
    <x v="2"/>
  </r>
  <r>
    <s v="ORD1003"/>
    <d v="2024-01-22T00:00:00"/>
    <x v="3"/>
    <x v="3"/>
    <x v="3"/>
    <n v="5"/>
    <x v="3"/>
    <n v="0"/>
    <x v="3"/>
  </r>
  <r>
    <s v="ORD1004"/>
    <d v="2024-01-29T00:00:00"/>
    <x v="4"/>
    <x v="3"/>
    <x v="4"/>
    <n v="7"/>
    <x v="1"/>
    <n v="0.15"/>
    <x v="4"/>
  </r>
  <r>
    <s v="ORD1005"/>
    <d v="2024-05-02T00:00:00"/>
    <x v="0"/>
    <x v="0"/>
    <x v="0"/>
    <n v="3"/>
    <x v="0"/>
    <n v="0"/>
    <x v="0"/>
  </r>
  <r>
    <s v="ORD1006"/>
    <d v="2024-12-02T00:00:00"/>
    <x v="1"/>
    <x v="1"/>
    <x v="1"/>
    <n v="7"/>
    <x v="0"/>
    <n v="0.05"/>
    <x v="1"/>
  </r>
  <r>
    <s v="ORD1007"/>
    <d v="2024-02-19T00:00:00"/>
    <x v="2"/>
    <x v="1"/>
    <x v="2"/>
    <n v="8"/>
    <x v="4"/>
    <n v="0"/>
    <x v="2"/>
  </r>
  <r>
    <s v="ORD1008"/>
    <d v="2024-02-26T00:00:00"/>
    <x v="3"/>
    <x v="3"/>
    <x v="3"/>
    <n v="5"/>
    <x v="4"/>
    <n v="0.05"/>
    <x v="3"/>
  </r>
  <r>
    <s v="ORD1009"/>
    <d v="2024-04-03T00:00:00"/>
    <x v="4"/>
    <x v="3"/>
    <x v="4"/>
    <n v="4"/>
    <x v="2"/>
    <n v="0"/>
    <x v="4"/>
  </r>
  <r>
    <s v="ORD1010"/>
    <d v="2024-11-03T00:00:00"/>
    <x v="0"/>
    <x v="0"/>
    <x v="0"/>
    <n v="0"/>
    <x v="1"/>
    <n v="0.05"/>
    <x v="0"/>
  </r>
  <r>
    <s v="ORD1011"/>
    <d v="2024-03-18T00:00:00"/>
    <x v="1"/>
    <x v="1"/>
    <x v="1"/>
    <n v="8"/>
    <x v="1"/>
    <n v="0.15"/>
    <x v="1"/>
  </r>
  <r>
    <s v="ORD1012"/>
    <d v="2024-03-25T00:00:00"/>
    <x v="2"/>
    <x v="2"/>
    <x v="2"/>
    <n v="3"/>
    <x v="4"/>
    <n v="0.15"/>
    <x v="2"/>
  </r>
  <r>
    <s v="ORD1013"/>
    <d v="2024-01-04T00:00:00"/>
    <x v="3"/>
    <x v="3"/>
    <x v="3"/>
    <n v="6"/>
    <x v="1"/>
    <n v="0.15"/>
    <x v="3"/>
  </r>
  <r>
    <s v="ORD1014"/>
    <d v="2024-08-04T00:00:00"/>
    <x v="4"/>
    <x v="3"/>
    <x v="4"/>
    <n v="5"/>
    <x v="1"/>
    <n v="0.15"/>
    <x v="4"/>
  </r>
  <r>
    <s v="ORD1015"/>
    <d v="2024-04-15T00:00:00"/>
    <x v="0"/>
    <x v="0"/>
    <x v="0"/>
    <n v="2"/>
    <x v="1"/>
    <n v="0"/>
    <x v="0"/>
  </r>
  <r>
    <s v="ORD1016"/>
    <d v="2024-04-22T00:00:00"/>
    <x v="1"/>
    <x v="1"/>
    <x v="1"/>
    <n v="8"/>
    <x v="4"/>
    <n v="0.1"/>
    <x v="1"/>
  </r>
  <r>
    <s v="ORD1017"/>
    <d v="2024-04-29T00:00:00"/>
    <x v="2"/>
    <x v="2"/>
    <x v="2"/>
    <n v="6"/>
    <x v="3"/>
    <n v="0"/>
    <x v="2"/>
  </r>
  <r>
    <s v="ORD1018"/>
    <d v="2024-06-05T00:00:00"/>
    <x v="3"/>
    <x v="3"/>
    <x v="3"/>
    <n v="2"/>
    <x v="4"/>
    <n v="0.15"/>
    <x v="3"/>
  </r>
  <r>
    <s v="ORD1019"/>
    <d v="2024-05-13T00:00:00"/>
    <x v="4"/>
    <x v="3"/>
    <x v="4"/>
    <n v="5"/>
    <x v="3"/>
    <n v="0.0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42388A-1112-4944-A289-A48354EF53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9:F26" firstHeaderRow="1" firstDataRow="2" firstDataCol="1"/>
  <pivotFields count="9">
    <pivotField showAll="0"/>
    <pivotField numFmtId="14" showAll="0"/>
    <pivotField showAll="0"/>
    <pivotField axis="axisCol" showAll="0">
      <items count="5">
        <item x="1"/>
        <item x="3"/>
        <item x="0"/>
        <item x="2"/>
        <item t="default"/>
      </items>
    </pivotField>
    <pivotField showAll="0"/>
    <pivotField showAll="0"/>
    <pivotField dataField="1" showAll="0"/>
    <pivotField showAll="0"/>
    <pivotField axis="axisRow" showAll="0">
      <items count="6">
        <item x="3"/>
        <item x="4"/>
        <item x="1"/>
        <item x="2"/>
        <item x="0"/>
        <item t="default"/>
      </items>
    </pivotField>
  </pivotFields>
  <rowFields count="1">
    <field x="8"/>
  </rowFields>
  <rowItems count="6">
    <i>
      <x/>
    </i>
    <i>
      <x v="1"/>
    </i>
    <i>
      <x v="2"/>
    </i>
    <i>
      <x v="3"/>
    </i>
    <i>
      <x v="4"/>
    </i>
    <i t="grand">
      <x/>
    </i>
  </rowItems>
  <colFields count="1">
    <field x="3"/>
  </colFields>
  <colItems count="5">
    <i>
      <x/>
    </i>
    <i>
      <x v="1"/>
    </i>
    <i>
      <x v="2"/>
    </i>
    <i>
      <x v="3"/>
    </i>
    <i t="grand">
      <x/>
    </i>
  </colItems>
  <dataFields count="1">
    <dataField name="Sum of Unit_Price" fld="6" baseField="0" baseItem="0"/>
  </dataFields>
  <chartFormats count="12">
    <chartFormat chart="23" format="0" series="1">
      <pivotArea type="data" outline="0" fieldPosition="0">
        <references count="2">
          <reference field="4294967294" count="1" selected="0">
            <x v="0"/>
          </reference>
          <reference field="3" count="1" selected="0">
            <x v="0"/>
          </reference>
        </references>
      </pivotArea>
    </chartFormat>
    <chartFormat chart="23" format="1" series="1">
      <pivotArea type="data" outline="0" fieldPosition="0">
        <references count="2">
          <reference field="4294967294" count="1" selected="0">
            <x v="0"/>
          </reference>
          <reference field="3" count="1" selected="0">
            <x v="1"/>
          </reference>
        </references>
      </pivotArea>
    </chartFormat>
    <chartFormat chart="23" format="2" series="1">
      <pivotArea type="data" outline="0" fieldPosition="0">
        <references count="2">
          <reference field="4294967294" count="1" selected="0">
            <x v="0"/>
          </reference>
          <reference field="3" count="1" selected="0">
            <x v="2"/>
          </reference>
        </references>
      </pivotArea>
    </chartFormat>
    <chartFormat chart="23" format="3" series="1">
      <pivotArea type="data" outline="0" fieldPosition="0">
        <references count="2">
          <reference field="4294967294" count="1" selected="0">
            <x v="0"/>
          </reference>
          <reference field="3" count="1" selected="0">
            <x v="3"/>
          </reference>
        </references>
      </pivotArea>
    </chartFormat>
    <chartFormat chart="24" format="4" series="1">
      <pivotArea type="data" outline="0" fieldPosition="0">
        <references count="2">
          <reference field="4294967294" count="1" selected="0">
            <x v="0"/>
          </reference>
          <reference field="3" count="1" selected="0">
            <x v="0"/>
          </reference>
        </references>
      </pivotArea>
    </chartFormat>
    <chartFormat chart="24" format="5" series="1">
      <pivotArea type="data" outline="0" fieldPosition="0">
        <references count="2">
          <reference field="4294967294" count="1" selected="0">
            <x v="0"/>
          </reference>
          <reference field="3" count="1" selected="0">
            <x v="1"/>
          </reference>
        </references>
      </pivotArea>
    </chartFormat>
    <chartFormat chart="24" format="6" series="1">
      <pivotArea type="data" outline="0" fieldPosition="0">
        <references count="2">
          <reference field="4294967294" count="1" selected="0">
            <x v="0"/>
          </reference>
          <reference field="3" count="1" selected="0">
            <x v="2"/>
          </reference>
        </references>
      </pivotArea>
    </chartFormat>
    <chartFormat chart="24" format="7" series="1">
      <pivotArea type="data" outline="0" fieldPosition="0">
        <references count="2">
          <reference field="4294967294" count="1" selected="0">
            <x v="0"/>
          </reference>
          <reference field="3" count="1" selected="0">
            <x v="3"/>
          </reference>
        </references>
      </pivotArea>
    </chartFormat>
    <chartFormat chart="25" format="12" series="1">
      <pivotArea type="data" outline="0" fieldPosition="0">
        <references count="2">
          <reference field="4294967294" count="1" selected="0">
            <x v="0"/>
          </reference>
          <reference field="3" count="1" selected="0">
            <x v="0"/>
          </reference>
        </references>
      </pivotArea>
    </chartFormat>
    <chartFormat chart="25" format="13" series="1">
      <pivotArea type="data" outline="0" fieldPosition="0">
        <references count="2">
          <reference field="4294967294" count="1" selected="0">
            <x v="0"/>
          </reference>
          <reference field="3" count="1" selected="0">
            <x v="1"/>
          </reference>
        </references>
      </pivotArea>
    </chartFormat>
    <chartFormat chart="25" format="14" series="1">
      <pivotArea type="data" outline="0" fieldPosition="0">
        <references count="2">
          <reference field="4294967294" count="1" selected="0">
            <x v="0"/>
          </reference>
          <reference field="3" count="1" selected="0">
            <x v="2"/>
          </reference>
        </references>
      </pivotArea>
    </chartFormat>
    <chartFormat chart="25" format="15"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4B2996-F34F-49BD-BCC2-DFABE8861F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9">
    <pivotField showAll="0"/>
    <pivotField numFmtId="14" showAll="0"/>
    <pivotField showAll="0"/>
    <pivotField axis="axisRow" showAll="0">
      <items count="5">
        <item x="1"/>
        <item x="3"/>
        <item x="0"/>
        <item x="2"/>
        <item t="default"/>
      </items>
    </pivotField>
    <pivotField showAll="0">
      <items count="6">
        <item x="2"/>
        <item x="0"/>
        <item x="4"/>
        <item x="3"/>
        <item x="1"/>
        <item t="default"/>
      </items>
    </pivotField>
    <pivotField showAll="0"/>
    <pivotField dataField="1" showAll="0"/>
    <pivotField showAll="0"/>
    <pivotField showAll="0">
      <items count="6">
        <item x="3"/>
        <item x="4"/>
        <item x="1"/>
        <item x="2"/>
        <item x="0"/>
        <item t="default"/>
      </items>
    </pivotField>
  </pivotFields>
  <rowFields count="1">
    <field x="3"/>
  </rowFields>
  <rowItems count="5">
    <i>
      <x/>
    </i>
    <i>
      <x v="1"/>
    </i>
    <i>
      <x v="2"/>
    </i>
    <i>
      <x v="3"/>
    </i>
    <i t="grand">
      <x/>
    </i>
  </rowItems>
  <colItems count="1">
    <i/>
  </colItems>
  <dataFields count="1">
    <dataField name="Sum of Unit_Price" fld="6" baseField="0" baseItem="0"/>
  </dataField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09AFA9-5BDE-413C-9FFD-F591719D0167}" sourceName="Region">
  <pivotTables>
    <pivotTable tabId="8" name="PivotTable4"/>
  </pivotTables>
  <data>
    <tabular pivotCacheId="35056052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5CD9994-263F-445D-B615-48AF6E0F509F}" sourceName="Product">
  <pivotTables>
    <pivotTable tabId="8" name="PivotTable4"/>
  </pivotTables>
  <data>
    <tabular pivotCacheId="350560523">
      <items count="5">
        <i x="2" s="1"/>
        <i x="0"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_Rep" xr10:uid="{1CBF0DF6-BCB9-4DD4-A353-636A593E6D3A}" sourceName="Sales_ Rep">
  <pivotTables>
    <pivotTable tabId="8" name="PivotTable4"/>
    <pivotTable tabId="8" name="PivotTable1"/>
  </pivotTables>
  <data>
    <tabular pivotCacheId="350560523">
      <items count="5">
        <i x="3" s="1"/>
        <i x="4"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004BF77-E6C9-45B0-8055-E34BC7800A4F}" cache="Slicer_Region" caption="Region" startItem="2" rowHeight="241300"/>
  <slicer name="Product" xr10:uid="{CBE8A3D0-6199-4C03-9854-0D1B335941C5}" cache="Slicer_Product" caption="Product" rowHeight="241300"/>
  <slicer name="Sales_ Rep" xr10:uid="{28BC441A-FD10-47F2-8520-343AE171A260}" cache="Slicer_Sales__Rep" caption="Sales_ Rep"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opLeftCell="A3" workbookViewId="0">
      <selection activeCell="F21" sqref="F21"/>
    </sheetView>
  </sheetViews>
  <sheetFormatPr defaultRowHeight="14.5" x14ac:dyDescent="0.35"/>
  <cols>
    <col min="1" max="1" width="8.54296875" bestFit="1" customWidth="1"/>
    <col min="2" max="2" width="10.08984375" bestFit="1" customWidth="1"/>
    <col min="3" max="3" width="14.453125" bestFit="1" customWidth="1"/>
    <col min="4" max="4" width="25.26953125" customWidth="1"/>
    <col min="5" max="5" width="16.26953125" customWidth="1"/>
    <col min="8" max="8" width="14.7265625" customWidth="1"/>
    <col min="9" max="9" width="15.26953125"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29</v>
      </c>
      <c r="C2" t="s">
        <v>49</v>
      </c>
      <c r="D2" t="s">
        <v>55</v>
      </c>
      <c r="E2" t="s">
        <v>59</v>
      </c>
      <c r="F2">
        <v>7</v>
      </c>
      <c r="G2">
        <v>250</v>
      </c>
      <c r="H2">
        <v>0</v>
      </c>
      <c r="I2" t="s">
        <v>65</v>
      </c>
    </row>
    <row r="3" spans="1:9" x14ac:dyDescent="0.35">
      <c r="A3" t="s">
        <v>10</v>
      </c>
      <c r="B3" t="s">
        <v>30</v>
      </c>
      <c r="C3" t="s">
        <v>50</v>
      </c>
      <c r="D3" t="s">
        <v>56</v>
      </c>
      <c r="E3" t="s">
        <v>60</v>
      </c>
      <c r="F3">
        <v>4</v>
      </c>
      <c r="G3">
        <v>1000</v>
      </c>
      <c r="H3">
        <v>0.05</v>
      </c>
      <c r="I3" t="s">
        <v>66</v>
      </c>
    </row>
    <row r="4" spans="1:9" x14ac:dyDescent="0.35">
      <c r="A4" t="s">
        <v>11</v>
      </c>
      <c r="B4" t="s">
        <v>31</v>
      </c>
      <c r="C4" t="s">
        <v>51</v>
      </c>
      <c r="D4" t="s">
        <v>57</v>
      </c>
      <c r="E4" t="s">
        <v>61</v>
      </c>
      <c r="F4">
        <v>8</v>
      </c>
      <c r="G4">
        <v>500</v>
      </c>
      <c r="H4">
        <v>0.15</v>
      </c>
      <c r="I4" t="s">
        <v>67</v>
      </c>
    </row>
    <row r="5" spans="1:9" x14ac:dyDescent="0.35">
      <c r="A5" t="s">
        <v>12</v>
      </c>
      <c r="B5" t="s">
        <v>32</v>
      </c>
      <c r="C5" t="s">
        <v>52</v>
      </c>
      <c r="D5" t="s">
        <v>58</v>
      </c>
      <c r="E5" t="s">
        <v>62</v>
      </c>
      <c r="F5">
        <v>5</v>
      </c>
      <c r="G5">
        <v>1250</v>
      </c>
      <c r="H5">
        <v>0</v>
      </c>
      <c r="I5" t="s">
        <v>68</v>
      </c>
    </row>
    <row r="6" spans="1:9" x14ac:dyDescent="0.35">
      <c r="A6" t="s">
        <v>13</v>
      </c>
      <c r="B6" t="s">
        <v>33</v>
      </c>
      <c r="C6" t="s">
        <v>53</v>
      </c>
      <c r="D6" t="s">
        <v>64</v>
      </c>
      <c r="E6" t="s">
        <v>63</v>
      </c>
      <c r="F6">
        <v>7</v>
      </c>
      <c r="G6">
        <v>1000</v>
      </c>
      <c r="H6">
        <v>0.15</v>
      </c>
      <c r="I6" t="s">
        <v>69</v>
      </c>
    </row>
    <row r="7" spans="1:9" x14ac:dyDescent="0.35">
      <c r="A7" t="s">
        <v>14</v>
      </c>
      <c r="B7" t="s">
        <v>34</v>
      </c>
      <c r="C7" t="s">
        <v>49</v>
      </c>
      <c r="D7" t="s">
        <v>55</v>
      </c>
      <c r="E7" t="s">
        <v>59</v>
      </c>
      <c r="F7">
        <v>3</v>
      </c>
      <c r="G7">
        <v>250</v>
      </c>
      <c r="H7">
        <v>0</v>
      </c>
      <c r="I7" t="s">
        <v>65</v>
      </c>
    </row>
    <row r="8" spans="1:9" x14ac:dyDescent="0.35">
      <c r="A8" t="s">
        <v>15</v>
      </c>
      <c r="B8" t="s">
        <v>35</v>
      </c>
      <c r="C8" t="s">
        <v>50</v>
      </c>
      <c r="D8" t="s">
        <v>56</v>
      </c>
      <c r="E8" t="s">
        <v>60</v>
      </c>
      <c r="F8">
        <v>7</v>
      </c>
      <c r="G8">
        <v>250</v>
      </c>
      <c r="H8">
        <v>0.05</v>
      </c>
      <c r="I8" t="s">
        <v>66</v>
      </c>
    </row>
    <row r="9" spans="1:9" x14ac:dyDescent="0.35">
      <c r="A9" t="s">
        <v>16</v>
      </c>
      <c r="B9" t="s">
        <v>36</v>
      </c>
      <c r="C9" t="s">
        <v>51</v>
      </c>
      <c r="D9" t="s">
        <v>57</v>
      </c>
      <c r="E9" t="s">
        <v>61</v>
      </c>
      <c r="F9">
        <v>8</v>
      </c>
      <c r="G9">
        <v>750</v>
      </c>
      <c r="H9">
        <v>0</v>
      </c>
      <c r="I9" t="s">
        <v>67</v>
      </c>
    </row>
    <row r="10" spans="1:9" x14ac:dyDescent="0.35">
      <c r="A10" t="s">
        <v>17</v>
      </c>
      <c r="B10" t="s">
        <v>37</v>
      </c>
      <c r="C10" t="s">
        <v>54</v>
      </c>
      <c r="D10" t="s">
        <v>57</v>
      </c>
      <c r="E10" t="s">
        <v>62</v>
      </c>
      <c r="F10">
        <v>5</v>
      </c>
      <c r="G10">
        <v>750</v>
      </c>
      <c r="H10">
        <v>0.05</v>
      </c>
      <c r="I10" t="s">
        <v>68</v>
      </c>
    </row>
    <row r="11" spans="1:9" x14ac:dyDescent="0.35">
      <c r="A11" t="s">
        <v>18</v>
      </c>
      <c r="B11" t="s">
        <v>38</v>
      </c>
      <c r="C11" t="s">
        <v>53</v>
      </c>
      <c r="D11" t="s">
        <v>64</v>
      </c>
      <c r="E11" t="s">
        <v>63</v>
      </c>
      <c r="F11">
        <v>4</v>
      </c>
      <c r="G11">
        <v>500</v>
      </c>
      <c r="H11">
        <v>0</v>
      </c>
      <c r="I11" t="s">
        <v>69</v>
      </c>
    </row>
    <row r="12" spans="1:9" x14ac:dyDescent="0.35">
      <c r="A12" t="s">
        <v>19</v>
      </c>
      <c r="B12" t="s">
        <v>39</v>
      </c>
      <c r="C12" t="s">
        <v>49</v>
      </c>
      <c r="D12" t="s">
        <v>55</v>
      </c>
      <c r="E12" t="s">
        <v>59</v>
      </c>
      <c r="F12">
        <v>0</v>
      </c>
      <c r="G12">
        <v>1000</v>
      </c>
      <c r="H12">
        <v>0.05</v>
      </c>
      <c r="I12" t="s">
        <v>65</v>
      </c>
    </row>
    <row r="13" spans="1:9" x14ac:dyDescent="0.35">
      <c r="A13" t="s">
        <v>20</v>
      </c>
      <c r="B13" t="s">
        <v>40</v>
      </c>
      <c r="C13" t="s">
        <v>50</v>
      </c>
      <c r="D13" t="s">
        <v>56</v>
      </c>
      <c r="E13" t="s">
        <v>60</v>
      </c>
      <c r="F13">
        <v>8</v>
      </c>
      <c r="G13">
        <v>1000</v>
      </c>
      <c r="H13">
        <v>0.15</v>
      </c>
      <c r="I13" t="s">
        <v>66</v>
      </c>
    </row>
    <row r="14" spans="1:9" x14ac:dyDescent="0.35">
      <c r="A14" t="s">
        <v>21</v>
      </c>
      <c r="B14" t="s">
        <v>41</v>
      </c>
      <c r="C14" t="s">
        <v>51</v>
      </c>
      <c r="D14" t="s">
        <v>57</v>
      </c>
      <c r="E14" t="s">
        <v>61</v>
      </c>
      <c r="F14">
        <v>3</v>
      </c>
      <c r="G14">
        <v>750</v>
      </c>
      <c r="H14">
        <v>0.15</v>
      </c>
      <c r="I14" t="s">
        <v>67</v>
      </c>
    </row>
    <row r="15" spans="1:9" x14ac:dyDescent="0.35">
      <c r="A15" t="s">
        <v>22</v>
      </c>
      <c r="B15" t="s">
        <v>42</v>
      </c>
      <c r="C15" t="s">
        <v>54</v>
      </c>
      <c r="D15" t="s">
        <v>58</v>
      </c>
      <c r="E15" t="s">
        <v>62</v>
      </c>
      <c r="F15">
        <v>6</v>
      </c>
      <c r="G15">
        <v>1000</v>
      </c>
      <c r="H15">
        <v>0.15</v>
      </c>
      <c r="I15" t="s">
        <v>68</v>
      </c>
    </row>
    <row r="16" spans="1:9" x14ac:dyDescent="0.35">
      <c r="A16" t="s">
        <v>23</v>
      </c>
      <c r="B16" t="s">
        <v>43</v>
      </c>
      <c r="C16" t="s">
        <v>53</v>
      </c>
      <c r="D16" t="s">
        <v>64</v>
      </c>
      <c r="E16" t="s">
        <v>63</v>
      </c>
      <c r="F16">
        <v>5</v>
      </c>
      <c r="G16">
        <v>1000</v>
      </c>
      <c r="H16">
        <v>0.15</v>
      </c>
      <c r="I16" t="s">
        <v>69</v>
      </c>
    </row>
    <row r="17" spans="1:9" x14ac:dyDescent="0.35">
      <c r="A17" t="s">
        <v>24</v>
      </c>
      <c r="B17" t="s">
        <v>44</v>
      </c>
      <c r="C17" t="s">
        <v>49</v>
      </c>
      <c r="D17" t="s">
        <v>55</v>
      </c>
      <c r="E17" t="s">
        <v>59</v>
      </c>
      <c r="F17">
        <v>2</v>
      </c>
      <c r="G17" s="2">
        <v>1000</v>
      </c>
      <c r="H17">
        <v>0</v>
      </c>
      <c r="I17" t="s">
        <v>65</v>
      </c>
    </row>
    <row r="18" spans="1:9" x14ac:dyDescent="0.35">
      <c r="A18" t="s">
        <v>25</v>
      </c>
      <c r="B18" t="s">
        <v>45</v>
      </c>
      <c r="C18" t="s">
        <v>50</v>
      </c>
      <c r="D18" t="s">
        <v>56</v>
      </c>
      <c r="E18" t="s">
        <v>60</v>
      </c>
      <c r="F18">
        <v>8</v>
      </c>
      <c r="G18">
        <v>750</v>
      </c>
      <c r="H18">
        <v>0.1</v>
      </c>
      <c r="I18" t="s">
        <v>66</v>
      </c>
    </row>
    <row r="19" spans="1:9" x14ac:dyDescent="0.35">
      <c r="A19" t="s">
        <v>26</v>
      </c>
      <c r="B19" t="s">
        <v>46</v>
      </c>
      <c r="C19" t="s">
        <v>51</v>
      </c>
      <c r="D19" t="s">
        <v>57</v>
      </c>
      <c r="E19" t="s">
        <v>61</v>
      </c>
      <c r="F19">
        <v>6</v>
      </c>
      <c r="G19">
        <v>1250</v>
      </c>
      <c r="H19">
        <v>0</v>
      </c>
      <c r="I19" t="s">
        <v>67</v>
      </c>
    </row>
    <row r="20" spans="1:9" x14ac:dyDescent="0.35">
      <c r="A20" t="s">
        <v>27</v>
      </c>
      <c r="B20" t="s">
        <v>47</v>
      </c>
      <c r="C20" t="s">
        <v>54</v>
      </c>
      <c r="D20" t="s">
        <v>58</v>
      </c>
      <c r="E20" t="s">
        <v>62</v>
      </c>
      <c r="F20">
        <v>2</v>
      </c>
      <c r="G20">
        <v>750</v>
      </c>
      <c r="H20">
        <v>0.15</v>
      </c>
      <c r="I20" t="s">
        <v>68</v>
      </c>
    </row>
    <row r="21" spans="1:9" x14ac:dyDescent="0.35">
      <c r="A21" t="s">
        <v>28</v>
      </c>
      <c r="B21" t="s">
        <v>48</v>
      </c>
      <c r="C21" t="s">
        <v>53</v>
      </c>
      <c r="D21" t="s">
        <v>64</v>
      </c>
      <c r="E21" t="s">
        <v>63</v>
      </c>
      <c r="F21">
        <v>5</v>
      </c>
      <c r="G21">
        <v>1250</v>
      </c>
      <c r="H21">
        <v>0.05</v>
      </c>
      <c r="I21" t="s">
        <v>69</v>
      </c>
    </row>
    <row r="23" spans="1:9" x14ac:dyDescent="0.35">
      <c r="G23">
        <f>SUM(G2:G21)</f>
        <v>16250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8659-085E-497D-9444-10225B388265}">
  <dimension ref="A1:I21"/>
  <sheetViews>
    <sheetView workbookViewId="0">
      <selection activeCell="E1" sqref="E1"/>
    </sheetView>
  </sheetViews>
  <sheetFormatPr defaultRowHeight="14.5" x14ac:dyDescent="0.35"/>
  <cols>
    <col min="1" max="1" width="13" customWidth="1"/>
    <col min="2" max="2" width="14.90625" customWidth="1"/>
    <col min="3" max="3" width="16.90625" customWidth="1"/>
    <col min="4" max="4" width="10.08984375" customWidth="1"/>
    <col min="5" max="5" width="10" bestFit="1" customWidth="1"/>
    <col min="6" max="6" width="8.1796875" bestFit="1" customWidth="1"/>
    <col min="7" max="7" width="10.36328125" customWidth="1"/>
    <col min="8" max="8" width="13.36328125" customWidth="1"/>
    <col min="9" max="9" width="13.26953125" customWidth="1"/>
  </cols>
  <sheetData>
    <row r="1" spans="1:9" x14ac:dyDescent="0.35">
      <c r="A1" s="1" t="s">
        <v>71</v>
      </c>
      <c r="B1" s="1" t="s">
        <v>1</v>
      </c>
      <c r="C1" s="1" t="s">
        <v>70</v>
      </c>
      <c r="D1" s="1" t="s">
        <v>3</v>
      </c>
      <c r="E1" s="1" t="s">
        <v>4</v>
      </c>
      <c r="F1" s="1" t="s">
        <v>5</v>
      </c>
      <c r="G1" s="1" t="s">
        <v>72</v>
      </c>
      <c r="H1" s="1" t="s">
        <v>7</v>
      </c>
      <c r="I1" s="1" t="s">
        <v>73</v>
      </c>
    </row>
    <row r="2" spans="1:9" x14ac:dyDescent="0.35">
      <c r="A2" t="s">
        <v>9</v>
      </c>
      <c r="B2" s="3">
        <v>45292</v>
      </c>
      <c r="C2" t="s">
        <v>49</v>
      </c>
      <c r="D2" t="s">
        <v>56</v>
      </c>
      <c r="E2" t="s">
        <v>59</v>
      </c>
      <c r="F2">
        <v>7</v>
      </c>
      <c r="G2">
        <v>250</v>
      </c>
      <c r="H2">
        <v>0</v>
      </c>
      <c r="I2" t="s">
        <v>65</v>
      </c>
    </row>
    <row r="3" spans="1:9" x14ac:dyDescent="0.35">
      <c r="A3" t="s">
        <v>10</v>
      </c>
      <c r="B3" s="3">
        <v>45505</v>
      </c>
      <c r="C3" t="s">
        <v>50</v>
      </c>
      <c r="D3" t="s">
        <v>57</v>
      </c>
      <c r="E3" t="s">
        <v>60</v>
      </c>
      <c r="F3">
        <v>4</v>
      </c>
      <c r="G3">
        <v>1000</v>
      </c>
      <c r="H3">
        <v>0.05</v>
      </c>
      <c r="I3" t="s">
        <v>66</v>
      </c>
    </row>
    <row r="4" spans="1:9" x14ac:dyDescent="0.35">
      <c r="A4" t="s">
        <v>11</v>
      </c>
      <c r="B4" s="3">
        <v>45306</v>
      </c>
      <c r="C4" t="s">
        <v>51</v>
      </c>
      <c r="D4" t="s">
        <v>58</v>
      </c>
      <c r="E4" t="s">
        <v>61</v>
      </c>
      <c r="F4">
        <v>8</v>
      </c>
      <c r="G4">
        <v>500</v>
      </c>
      <c r="H4">
        <v>0.15</v>
      </c>
      <c r="I4" t="s">
        <v>67</v>
      </c>
    </row>
    <row r="5" spans="1:9" x14ac:dyDescent="0.35">
      <c r="A5" t="s">
        <v>12</v>
      </c>
      <c r="B5" s="3">
        <v>45313</v>
      </c>
      <c r="C5" t="s">
        <v>54</v>
      </c>
      <c r="D5" t="s">
        <v>55</v>
      </c>
      <c r="E5" t="s">
        <v>62</v>
      </c>
      <c r="F5">
        <v>5</v>
      </c>
      <c r="G5">
        <v>1250</v>
      </c>
      <c r="H5">
        <v>0</v>
      </c>
      <c r="I5" t="s">
        <v>68</v>
      </c>
    </row>
    <row r="6" spans="1:9" x14ac:dyDescent="0.35">
      <c r="A6" t="s">
        <v>13</v>
      </c>
      <c r="B6" s="3">
        <v>45320</v>
      </c>
      <c r="C6" t="s">
        <v>53</v>
      </c>
      <c r="D6" t="s">
        <v>55</v>
      </c>
      <c r="E6" t="s">
        <v>63</v>
      </c>
      <c r="F6">
        <v>7</v>
      </c>
      <c r="G6">
        <v>1000</v>
      </c>
      <c r="H6">
        <v>0.15</v>
      </c>
      <c r="I6" t="s">
        <v>69</v>
      </c>
    </row>
    <row r="7" spans="1:9" x14ac:dyDescent="0.35">
      <c r="A7" t="s">
        <v>14</v>
      </c>
      <c r="B7" s="3">
        <v>45414</v>
      </c>
      <c r="C7" t="s">
        <v>49</v>
      </c>
      <c r="D7" t="s">
        <v>56</v>
      </c>
      <c r="E7" t="s">
        <v>59</v>
      </c>
      <c r="F7">
        <v>3</v>
      </c>
      <c r="G7">
        <v>250</v>
      </c>
      <c r="H7">
        <v>0</v>
      </c>
      <c r="I7" t="s">
        <v>65</v>
      </c>
    </row>
    <row r="8" spans="1:9" x14ac:dyDescent="0.35">
      <c r="A8" t="s">
        <v>15</v>
      </c>
      <c r="B8" s="3">
        <v>45628</v>
      </c>
      <c r="C8" t="s">
        <v>50</v>
      </c>
      <c r="D8" t="s">
        <v>57</v>
      </c>
      <c r="E8" t="s">
        <v>60</v>
      </c>
      <c r="F8">
        <v>7</v>
      </c>
      <c r="G8">
        <v>250</v>
      </c>
      <c r="H8">
        <v>0.05</v>
      </c>
      <c r="I8" t="s">
        <v>66</v>
      </c>
    </row>
    <row r="9" spans="1:9" x14ac:dyDescent="0.35">
      <c r="A9" t="s">
        <v>16</v>
      </c>
      <c r="B9" s="3">
        <v>45341</v>
      </c>
      <c r="C9" t="s">
        <v>51</v>
      </c>
      <c r="D9" t="s">
        <v>57</v>
      </c>
      <c r="E9" t="s">
        <v>61</v>
      </c>
      <c r="F9">
        <v>8</v>
      </c>
      <c r="G9">
        <v>750</v>
      </c>
      <c r="H9">
        <v>0</v>
      </c>
      <c r="I9" t="s">
        <v>67</v>
      </c>
    </row>
    <row r="10" spans="1:9" x14ac:dyDescent="0.35">
      <c r="A10" t="s">
        <v>17</v>
      </c>
      <c r="B10" s="3">
        <v>45348</v>
      </c>
      <c r="C10" t="s">
        <v>54</v>
      </c>
      <c r="D10" t="s">
        <v>55</v>
      </c>
      <c r="E10" t="s">
        <v>62</v>
      </c>
      <c r="F10">
        <v>5</v>
      </c>
      <c r="G10">
        <v>750</v>
      </c>
      <c r="H10">
        <v>0.05</v>
      </c>
      <c r="I10" t="s">
        <v>68</v>
      </c>
    </row>
    <row r="11" spans="1:9" x14ac:dyDescent="0.35">
      <c r="A11" t="s">
        <v>18</v>
      </c>
      <c r="B11" s="3">
        <v>45385</v>
      </c>
      <c r="C11" t="s">
        <v>53</v>
      </c>
      <c r="D11" t="s">
        <v>55</v>
      </c>
      <c r="E11" t="s">
        <v>63</v>
      </c>
      <c r="F11">
        <v>4</v>
      </c>
      <c r="G11">
        <v>500</v>
      </c>
      <c r="H11">
        <v>0</v>
      </c>
      <c r="I11" t="s">
        <v>69</v>
      </c>
    </row>
    <row r="12" spans="1:9" x14ac:dyDescent="0.35">
      <c r="A12" t="s">
        <v>19</v>
      </c>
      <c r="B12" s="3">
        <v>45599</v>
      </c>
      <c r="C12" t="s">
        <v>49</v>
      </c>
      <c r="D12" t="s">
        <v>56</v>
      </c>
      <c r="E12" t="s">
        <v>59</v>
      </c>
      <c r="F12">
        <v>0</v>
      </c>
      <c r="G12">
        <v>1000</v>
      </c>
      <c r="H12">
        <v>0.05</v>
      </c>
      <c r="I12" t="s">
        <v>65</v>
      </c>
    </row>
    <row r="13" spans="1:9" x14ac:dyDescent="0.35">
      <c r="A13" t="s">
        <v>20</v>
      </c>
      <c r="B13" s="3">
        <v>45369</v>
      </c>
      <c r="C13" t="s">
        <v>50</v>
      </c>
      <c r="D13" t="s">
        <v>57</v>
      </c>
      <c r="E13" t="s">
        <v>60</v>
      </c>
      <c r="F13">
        <v>8</v>
      </c>
      <c r="G13">
        <v>1000</v>
      </c>
      <c r="H13">
        <v>0.15</v>
      </c>
      <c r="I13" t="s">
        <v>66</v>
      </c>
    </row>
    <row r="14" spans="1:9" x14ac:dyDescent="0.35">
      <c r="A14" t="s">
        <v>21</v>
      </c>
      <c r="B14" s="3">
        <v>45376</v>
      </c>
      <c r="C14" t="s">
        <v>51</v>
      </c>
      <c r="D14" t="s">
        <v>58</v>
      </c>
      <c r="E14" t="s">
        <v>61</v>
      </c>
      <c r="F14">
        <v>3</v>
      </c>
      <c r="G14">
        <v>750</v>
      </c>
      <c r="H14">
        <v>0.15</v>
      </c>
      <c r="I14" t="s">
        <v>67</v>
      </c>
    </row>
    <row r="15" spans="1:9" x14ac:dyDescent="0.35">
      <c r="A15" t="s">
        <v>22</v>
      </c>
      <c r="B15" s="3">
        <v>45295</v>
      </c>
      <c r="C15" t="s">
        <v>54</v>
      </c>
      <c r="D15" t="s">
        <v>55</v>
      </c>
      <c r="E15" t="s">
        <v>62</v>
      </c>
      <c r="F15">
        <v>6</v>
      </c>
      <c r="G15">
        <v>1000</v>
      </c>
      <c r="H15">
        <v>0.15</v>
      </c>
      <c r="I15" t="s">
        <v>68</v>
      </c>
    </row>
    <row r="16" spans="1:9" x14ac:dyDescent="0.35">
      <c r="A16" t="s">
        <v>23</v>
      </c>
      <c r="B16" s="3">
        <v>45508</v>
      </c>
      <c r="C16" t="s">
        <v>53</v>
      </c>
      <c r="D16" t="s">
        <v>55</v>
      </c>
      <c r="E16" t="s">
        <v>63</v>
      </c>
      <c r="F16">
        <v>5</v>
      </c>
      <c r="G16">
        <v>1000</v>
      </c>
      <c r="H16">
        <v>0.15</v>
      </c>
      <c r="I16" t="s">
        <v>69</v>
      </c>
    </row>
    <row r="17" spans="1:9" x14ac:dyDescent="0.35">
      <c r="A17" t="s">
        <v>24</v>
      </c>
      <c r="B17" s="3">
        <v>45397</v>
      </c>
      <c r="C17" t="s">
        <v>49</v>
      </c>
      <c r="D17" t="s">
        <v>56</v>
      </c>
      <c r="E17" t="s">
        <v>59</v>
      </c>
      <c r="F17">
        <v>2</v>
      </c>
      <c r="G17" s="2">
        <v>1000</v>
      </c>
      <c r="H17">
        <v>0</v>
      </c>
      <c r="I17" t="s">
        <v>65</v>
      </c>
    </row>
    <row r="18" spans="1:9" x14ac:dyDescent="0.35">
      <c r="A18" t="s">
        <v>25</v>
      </c>
      <c r="B18" s="3">
        <v>45404</v>
      </c>
      <c r="C18" t="s">
        <v>50</v>
      </c>
      <c r="D18" t="s">
        <v>57</v>
      </c>
      <c r="E18" t="s">
        <v>60</v>
      </c>
      <c r="F18">
        <v>8</v>
      </c>
      <c r="G18">
        <v>750</v>
      </c>
      <c r="H18">
        <v>0.1</v>
      </c>
      <c r="I18" t="s">
        <v>66</v>
      </c>
    </row>
    <row r="19" spans="1:9" x14ac:dyDescent="0.35">
      <c r="A19" t="s">
        <v>26</v>
      </c>
      <c r="B19" s="3">
        <v>45411</v>
      </c>
      <c r="C19" t="s">
        <v>51</v>
      </c>
      <c r="D19" t="s">
        <v>58</v>
      </c>
      <c r="E19" t="s">
        <v>61</v>
      </c>
      <c r="F19">
        <v>6</v>
      </c>
      <c r="G19">
        <v>1250</v>
      </c>
      <c r="H19">
        <v>0</v>
      </c>
      <c r="I19" t="s">
        <v>67</v>
      </c>
    </row>
    <row r="20" spans="1:9" x14ac:dyDescent="0.35">
      <c r="A20" t="s">
        <v>27</v>
      </c>
      <c r="B20" s="3">
        <v>45448</v>
      </c>
      <c r="C20" t="s">
        <v>54</v>
      </c>
      <c r="D20" t="s">
        <v>55</v>
      </c>
      <c r="E20" t="s">
        <v>62</v>
      </c>
      <c r="F20">
        <v>2</v>
      </c>
      <c r="G20">
        <v>750</v>
      </c>
      <c r="H20">
        <v>0.15</v>
      </c>
      <c r="I20" t="s">
        <v>68</v>
      </c>
    </row>
    <row r="21" spans="1:9" x14ac:dyDescent="0.35">
      <c r="A21" t="s">
        <v>28</v>
      </c>
      <c r="B21" s="3">
        <v>45425</v>
      </c>
      <c r="C21" t="s">
        <v>53</v>
      </c>
      <c r="D21" t="s">
        <v>55</v>
      </c>
      <c r="E21" t="s">
        <v>63</v>
      </c>
      <c r="F21">
        <v>5</v>
      </c>
      <c r="G21">
        <v>1250</v>
      </c>
      <c r="H21">
        <v>0.05</v>
      </c>
      <c r="I21"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30E3-64DF-4DEA-B005-3837B953E19D}">
  <dimension ref="A3:F26"/>
  <sheetViews>
    <sheetView topLeftCell="D15" workbookViewId="0">
      <selection activeCell="V30" sqref="V30"/>
    </sheetView>
  </sheetViews>
  <sheetFormatPr defaultRowHeight="14.5" x14ac:dyDescent="0.35"/>
  <cols>
    <col min="1" max="1" width="12.36328125" bestFit="1" customWidth="1"/>
    <col min="2" max="2" width="15.81640625" bestFit="1" customWidth="1"/>
    <col min="3" max="4" width="5.7265625" bestFit="1" customWidth="1"/>
    <col min="5" max="5" width="5.1796875" bestFit="1" customWidth="1"/>
    <col min="6" max="6" width="10.7265625" bestFit="1" customWidth="1"/>
  </cols>
  <sheetData>
    <row r="3" spans="1:2" x14ac:dyDescent="0.35">
      <c r="A3" s="4" t="s">
        <v>74</v>
      </c>
      <c r="B3" t="s">
        <v>76</v>
      </c>
    </row>
    <row r="4" spans="1:2" x14ac:dyDescent="0.35">
      <c r="A4" s="5" t="s">
        <v>57</v>
      </c>
      <c r="B4">
        <v>3750</v>
      </c>
    </row>
    <row r="5" spans="1:2" x14ac:dyDescent="0.35">
      <c r="A5" s="5" t="s">
        <v>55</v>
      </c>
      <c r="B5">
        <v>7500</v>
      </c>
    </row>
    <row r="6" spans="1:2" x14ac:dyDescent="0.35">
      <c r="A6" s="5" t="s">
        <v>56</v>
      </c>
      <c r="B6">
        <v>2500</v>
      </c>
    </row>
    <row r="7" spans="1:2" x14ac:dyDescent="0.35">
      <c r="A7" s="5" t="s">
        <v>58</v>
      </c>
      <c r="B7">
        <v>2500</v>
      </c>
    </row>
    <row r="8" spans="1:2" x14ac:dyDescent="0.35">
      <c r="A8" s="5" t="s">
        <v>75</v>
      </c>
      <c r="B8">
        <v>16250</v>
      </c>
    </row>
    <row r="19" spans="1:6" x14ac:dyDescent="0.35">
      <c r="A19" s="4" t="s">
        <v>76</v>
      </c>
      <c r="B19" s="4" t="s">
        <v>77</v>
      </c>
    </row>
    <row r="20" spans="1:6" x14ac:dyDescent="0.35">
      <c r="A20" s="4" t="s">
        <v>74</v>
      </c>
      <c r="B20" t="s">
        <v>57</v>
      </c>
      <c r="C20" t="s">
        <v>55</v>
      </c>
      <c r="D20" t="s">
        <v>56</v>
      </c>
      <c r="E20" t="s">
        <v>58</v>
      </c>
      <c r="F20" t="s">
        <v>75</v>
      </c>
    </row>
    <row r="21" spans="1:6" x14ac:dyDescent="0.35">
      <c r="A21" s="5" t="s">
        <v>68</v>
      </c>
      <c r="C21">
        <v>3750</v>
      </c>
      <c r="F21">
        <v>3750</v>
      </c>
    </row>
    <row r="22" spans="1:6" x14ac:dyDescent="0.35">
      <c r="A22" s="5" t="s">
        <v>69</v>
      </c>
      <c r="C22">
        <v>3750</v>
      </c>
      <c r="F22">
        <v>3750</v>
      </c>
    </row>
    <row r="23" spans="1:6" x14ac:dyDescent="0.35">
      <c r="A23" s="5" t="s">
        <v>66</v>
      </c>
      <c r="B23">
        <v>3000</v>
      </c>
      <c r="F23">
        <v>3000</v>
      </c>
    </row>
    <row r="24" spans="1:6" x14ac:dyDescent="0.35">
      <c r="A24" s="5" t="s">
        <v>67</v>
      </c>
      <c r="B24">
        <v>750</v>
      </c>
      <c r="E24">
        <v>2500</v>
      </c>
      <c r="F24">
        <v>3250</v>
      </c>
    </row>
    <row r="25" spans="1:6" x14ac:dyDescent="0.35">
      <c r="A25" s="5" t="s">
        <v>65</v>
      </c>
      <c r="D25">
        <v>2500</v>
      </c>
      <c r="F25">
        <v>2500</v>
      </c>
    </row>
    <row r="26" spans="1:6" x14ac:dyDescent="0.35">
      <c r="A26" s="5" t="s">
        <v>75</v>
      </c>
      <c r="B26">
        <v>3750</v>
      </c>
      <c r="C26">
        <v>7500</v>
      </c>
      <c r="D26">
        <v>2500</v>
      </c>
      <c r="E26">
        <v>2500</v>
      </c>
      <c r="F26">
        <v>16250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5F46-BA06-4182-AA13-5971228CE4F0}">
  <dimension ref="A1:J4"/>
  <sheetViews>
    <sheetView showGridLines="0" tabSelected="1" topLeftCell="A3" zoomScale="127" workbookViewId="0">
      <selection activeCell="R3" sqref="Q3:R8"/>
    </sheetView>
  </sheetViews>
  <sheetFormatPr defaultRowHeight="14.5" x14ac:dyDescent="0.35"/>
  <sheetData>
    <row r="1" spans="1:10" x14ac:dyDescent="0.35">
      <c r="A1" s="6" t="s">
        <v>78</v>
      </c>
      <c r="B1" s="7"/>
      <c r="C1" s="7"/>
      <c r="D1" s="7"/>
      <c r="E1" s="7"/>
      <c r="F1" s="7"/>
      <c r="G1" s="7"/>
      <c r="H1" s="7"/>
      <c r="I1" s="7"/>
      <c r="J1" s="7"/>
    </row>
    <row r="2" spans="1:10" x14ac:dyDescent="0.35">
      <c r="A2" s="7"/>
      <c r="B2" s="7"/>
      <c r="C2" s="7"/>
      <c r="D2" s="7"/>
      <c r="E2" s="7"/>
      <c r="F2" s="7"/>
      <c r="G2" s="7"/>
      <c r="H2" s="7"/>
      <c r="I2" s="7"/>
      <c r="J2" s="7"/>
    </row>
    <row r="3" spans="1:10" x14ac:dyDescent="0.35">
      <c r="A3" s="7"/>
      <c r="B3" s="7"/>
      <c r="C3" s="7"/>
      <c r="D3" s="7"/>
      <c r="E3" s="7"/>
      <c r="F3" s="7"/>
      <c r="G3" s="7"/>
      <c r="H3" s="7"/>
      <c r="I3" s="7"/>
      <c r="J3" s="7"/>
    </row>
    <row r="4" spans="1:10" x14ac:dyDescent="0.35">
      <c r="A4" s="7"/>
      <c r="B4" s="7"/>
      <c r="C4" s="7"/>
      <c r="D4" s="7"/>
      <c r="E4" s="7"/>
      <c r="F4" s="7"/>
      <c r="G4" s="7"/>
      <c r="H4" s="7"/>
      <c r="I4" s="7"/>
      <c r="J4" s="7"/>
    </row>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Sheet8</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chisom adiele</cp:lastModifiedBy>
  <dcterms:created xsi:type="dcterms:W3CDTF">2025-10-29T15:31:54Z</dcterms:created>
  <dcterms:modified xsi:type="dcterms:W3CDTF">2025-11-03T15:42:12Z</dcterms:modified>
</cp:coreProperties>
</file>